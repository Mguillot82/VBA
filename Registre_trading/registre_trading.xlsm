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gu\Documents\07_VBA\"/>
    </mc:Choice>
  </mc:AlternateContent>
  <xr:revisionPtr revIDLastSave="0" documentId="13_ncr:1_{12178716-73E9-4DBF-8D4B-9F34B6CE3047}" xr6:coauthVersionLast="47" xr6:coauthVersionMax="47" xr10:uidLastSave="{00000000-0000-0000-0000-000000000000}"/>
  <bookViews>
    <workbookView xWindow="28680" yWindow="-120" windowWidth="29040" windowHeight="15840" xr2:uid="{9F71143C-B574-422A-85EC-CBAD62BA2EE3}"/>
  </bookViews>
  <sheets>
    <sheet name="DashBoard" sheetId="1" r:id="rId1"/>
    <sheet name="Opened_positions" sheetId="3" r:id="rId2"/>
    <sheet name="Closed_posit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1" l="1"/>
  <c r="H11" i="1"/>
  <c r="J17" i="1"/>
  <c r="L17" i="1"/>
  <c r="L14" i="1"/>
  <c r="J14" i="1"/>
  <c r="H17" i="1"/>
  <c r="H14" i="1"/>
  <c r="E9" i="1"/>
  <c r="E8" i="1"/>
  <c r="E6" i="1"/>
  <c r="E5" i="1"/>
  <c r="E15" i="1"/>
  <c r="E12" i="1"/>
  <c r="E11" i="1"/>
  <c r="J6" i="1"/>
  <c r="L6" i="1" s="1"/>
  <c r="L11" i="1" l="1"/>
  <c r="E13" i="1"/>
</calcChain>
</file>

<file path=xl/sharedStrings.xml><?xml version="1.0" encoding="utf-8"?>
<sst xmlns="http://schemas.openxmlformats.org/spreadsheetml/2006/main" count="61" uniqueCount="45">
  <si>
    <t>Futures Kucoin Calculateur</t>
  </si>
  <si>
    <t>Capital initial</t>
  </si>
  <si>
    <t>% max / position</t>
  </si>
  <si>
    <t>%min / position</t>
  </si>
  <si>
    <t>Gain potentiel</t>
  </si>
  <si>
    <t>Perte potentielle</t>
  </si>
  <si>
    <t>Levier</t>
  </si>
  <si>
    <t>Valeur position</t>
  </si>
  <si>
    <t>Entry Price</t>
  </si>
  <si>
    <t>Stop Loss</t>
  </si>
  <si>
    <t>Take Profit</t>
  </si>
  <si>
    <t>Risque /Reward Ratio</t>
  </si>
  <si>
    <t>Capital actuel</t>
  </si>
  <si>
    <t>Nombre de titres</t>
  </si>
  <si>
    <t>Capital engagé</t>
  </si>
  <si>
    <t>Contrat</t>
  </si>
  <si>
    <t>Type</t>
  </si>
  <si>
    <t>Date</t>
  </si>
  <si>
    <t>Heure</t>
  </si>
  <si>
    <t>Taker fee</t>
  </si>
  <si>
    <t>Maker fee</t>
  </si>
  <si>
    <t>Paire</t>
  </si>
  <si>
    <t>Plateforme</t>
  </si>
  <si>
    <t>Prix d'entrée</t>
  </si>
  <si>
    <t>Risk Reward Ratio</t>
  </si>
  <si>
    <t>ID</t>
  </si>
  <si>
    <t>Prix de sortie</t>
  </si>
  <si>
    <t>PnL</t>
  </si>
  <si>
    <t>Fees</t>
  </si>
  <si>
    <t>Funding</t>
  </si>
  <si>
    <t>lot futures</t>
  </si>
  <si>
    <t>n lots</t>
  </si>
  <si>
    <t>Leverage</t>
  </si>
  <si>
    <t>pips (0.01%)</t>
  </si>
  <si>
    <t>Engaged Capital</t>
  </si>
  <si>
    <t>(price_asset*pips)*(pos_value/price_asset)</t>
  </si>
  <si>
    <t>ROIC/pips</t>
  </si>
  <si>
    <t>Pos Value</t>
  </si>
  <si>
    <t>% performance</t>
  </si>
  <si>
    <t>Capital max /position</t>
  </si>
  <si>
    <t>Capital min/position</t>
  </si>
  <si>
    <t>100pips (1%)</t>
  </si>
  <si>
    <t>100pips (0.1%)</t>
  </si>
  <si>
    <t>variation_pos /pips</t>
  </si>
  <si>
    <t>21/12/2022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</si>
</sst>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_(&quot;$&quot;* #,##0.000_);_(&quot;$&quot;* \(#,##0.000\);_(&quot;$&quot;* &quot;-&quot;??_);_(@_)"/>
    <numFmt numFmtId="167" formatCode="_(&quot;$&quot;* #,##0.0000_);_(&quot;$&quot;* \(#,##0.0000\);_(&quot;$&quot;* &quot;-&quot;??_);_(@_)"/>
    <numFmt numFmtId="168" formatCode="0.0"/>
    <numFmt numFmtId="169" formatCode="_(&quot;$&quot;* #,##0.00000_);_(&quot;$&quot;* \(#,##0.00000\);_(&quot;$&quot;* &quot;-&quot;??_);_(@_)"/>
    <numFmt numFmtId="170" formatCode="0.00000000"/>
    <numFmt numFmtId="171" formatCode="0.0000"/>
    <numFmt numFmtId="172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00AF"/>
      <name val="Calibri"/>
      <family val="2"/>
      <scheme val="minor"/>
    </font>
    <font>
      <sz val="11"/>
      <color rgb="FFA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0" fontId="3" fillId="0" borderId="0" xfId="0" applyFont="1"/>
    <xf numFmtId="10" fontId="4" fillId="0" borderId="0" xfId="0" applyNumberFormat="1" applyFont="1"/>
    <xf numFmtId="0" fontId="4" fillId="0" borderId="0" xfId="0" applyFont="1"/>
    <xf numFmtId="9" fontId="4" fillId="0" borderId="0" xfId="0" applyNumberFormat="1" applyFont="1"/>
    <xf numFmtId="165" fontId="4" fillId="0" borderId="0" xfId="0" applyNumberFormat="1" applyFont="1"/>
    <xf numFmtId="164" fontId="5" fillId="0" borderId="0" xfId="1" applyNumberFormat="1" applyFont="1"/>
    <xf numFmtId="0" fontId="5" fillId="0" borderId="0" xfId="0" applyFont="1"/>
    <xf numFmtId="44" fontId="4" fillId="0" borderId="0" xfId="2" applyFont="1"/>
    <xf numFmtId="44" fontId="5" fillId="0" borderId="0" xfId="2" applyFont="1"/>
    <xf numFmtId="167" fontId="5" fillId="0" borderId="0" xfId="2" applyNumberFormat="1" applyFont="1"/>
    <xf numFmtId="10" fontId="5" fillId="0" borderId="0" xfId="0" applyNumberFormat="1" applyFont="1"/>
    <xf numFmtId="166" fontId="5" fillId="0" borderId="0" xfId="0" applyNumberFormat="1" applyFont="1"/>
    <xf numFmtId="168" fontId="5" fillId="0" borderId="0" xfId="0" applyNumberFormat="1" applyFont="1" applyAlignment="1">
      <alignment horizontal="center"/>
    </xf>
    <xf numFmtId="169" fontId="5" fillId="0" borderId="0" xfId="0" applyNumberFormat="1" applyFont="1"/>
    <xf numFmtId="10" fontId="4" fillId="0" borderId="0" xfId="1" applyNumberFormat="1" applyFont="1"/>
    <xf numFmtId="14" fontId="0" fillId="0" borderId="0" xfId="0" applyNumberFormat="1"/>
    <xf numFmtId="14" fontId="4" fillId="0" borderId="0" xfId="0" applyNumberFormat="1" applyFont="1"/>
    <xf numFmtId="19" fontId="4" fillId="0" borderId="0" xfId="0" applyNumberFormat="1" applyFont="1"/>
    <xf numFmtId="21" fontId="4" fillId="0" borderId="0" xfId="0" applyNumberFormat="1" applyFont="1"/>
    <xf numFmtId="170" fontId="0" fillId="0" borderId="0" xfId="0" applyNumberFormat="1"/>
    <xf numFmtId="172" fontId="5" fillId="0" borderId="0" xfId="1" applyNumberFormat="1" applyFont="1"/>
    <xf numFmtId="10" fontId="5" fillId="0" borderId="0" xfId="1" applyNumberFormat="1" applyFont="1" applyAlignment="1">
      <alignment horizontal="center"/>
    </xf>
    <xf numFmtId="171" fontId="5" fillId="0" borderId="0" xfId="0" applyNumberFormat="1" applyFont="1"/>
    <xf numFmtId="0" fontId="2" fillId="0" borderId="0" xfId="0" applyFont="1" applyAlignment="1">
      <alignment horizontal="center" vertical="center"/>
    </xf>
    <xf numFmtId="169" fontId="2" fillId="0" borderId="0" xfId="0" applyNumberFormat="1" applyFont="1"/>
    <xf numFmtId="167" fontId="5" fillId="0" borderId="0" xfId="2" applyNumberFormat="1" applyFont="1" applyAlignment="1">
      <alignment horizontal="center"/>
    </xf>
    <xf numFmtId="9" fontId="0" fillId="0" borderId="0" xfId="0" applyNumberFormat="1"/>
    <xf numFmtId="2" fontId="0" fillId="0" borderId="0" xfId="1" applyNumberFormat="1" applyFont="1"/>
    <xf numFmtId="2" fontId="0" fillId="0" borderId="0" xfId="2" applyNumberFormat="1" applyFont="1"/>
    <xf numFmtId="21" fontId="0" fillId="0" borderId="0" xfId="0" applyNumberFormat="1"/>
  </cellXfs>
  <cellStyles count="3">
    <cellStyle name="Monétaire" xfId="2" builtinId="4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552450</xdr:colOff>
          <xdr:row>0</xdr:row>
          <xdr:rowOff>95250</xdr:rowOff>
        </xdr:from>
        <xdr:to>
          <xdr:col>20</xdr:col>
          <xdr:colOff>142875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en 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57150</xdr:rowOff>
        </xdr:from>
        <xdr:to>
          <xdr:col>15</xdr:col>
          <xdr:colOff>657225</xdr:colOff>
          <xdr:row>3</xdr:row>
          <xdr:rowOff>133350</xdr:rowOff>
        </xdr:to>
        <xdr:sp macro="" textlink="">
          <xdr:nvSpPr>
            <xdr:cNvPr id="1026" name="Button 2" descr="Ouverture de posi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Ouverture de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0</xdr:row>
          <xdr:rowOff>57150</xdr:rowOff>
        </xdr:from>
        <xdr:to>
          <xdr:col>17</xdr:col>
          <xdr:colOff>628650</xdr:colOff>
          <xdr:row>3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Clôture de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CB09-AE3B-4BC3-8DEB-410E8AFCA68E}">
  <sheetPr codeName="Feuil1"/>
  <dimension ref="A1:N20"/>
  <sheetViews>
    <sheetView tabSelected="1" workbookViewId="0">
      <selection activeCell="E30" sqref="E30"/>
    </sheetView>
  </sheetViews>
  <sheetFormatPr baseColWidth="10" defaultRowHeight="15" x14ac:dyDescent="0.25"/>
  <cols>
    <col min="1" max="1" width="24.85546875" bestFit="1" customWidth="1"/>
    <col min="2" max="2" width="12" bestFit="1" customWidth="1"/>
    <col min="3" max="3" width="5.7109375" bestFit="1" customWidth="1"/>
    <col min="4" max="4" width="20.140625" bestFit="1" customWidth="1"/>
    <col min="5" max="5" width="12.5703125" bestFit="1" customWidth="1"/>
    <col min="8" max="8" width="12.7109375" customWidth="1"/>
    <col min="9" max="9" width="40.140625" bestFit="1" customWidth="1"/>
    <col min="10" max="10" width="21.28515625" bestFit="1" customWidth="1"/>
    <col min="11" max="11" width="15" bestFit="1" customWidth="1"/>
    <col min="14" max="14" width="13.42578125" bestFit="1" customWidth="1"/>
  </cols>
  <sheetData>
    <row r="1" spans="1:14" x14ac:dyDescent="0.25">
      <c r="A1" t="s">
        <v>0</v>
      </c>
    </row>
    <row r="2" spans="1:14" x14ac:dyDescent="0.25">
      <c r="A2" s="2"/>
      <c r="C2" s="1"/>
      <c r="D2" s="4"/>
      <c r="E2" s="8"/>
    </row>
    <row r="5" spans="1:14" x14ac:dyDescent="0.25">
      <c r="A5" s="1" t="s">
        <v>8</v>
      </c>
      <c r="B5" s="4">
        <v>3200</v>
      </c>
      <c r="D5" s="1" t="s">
        <v>39</v>
      </c>
      <c r="E5" s="7">
        <f>B13*B15</f>
        <v>64.100000000000009</v>
      </c>
      <c r="H5" s="1" t="s">
        <v>30</v>
      </c>
      <c r="I5" s="1" t="s">
        <v>31</v>
      </c>
      <c r="J5" s="1" t="s">
        <v>37</v>
      </c>
      <c r="K5" s="1" t="s">
        <v>32</v>
      </c>
      <c r="L5" s="1" t="s">
        <v>34</v>
      </c>
    </row>
    <row r="6" spans="1:14" x14ac:dyDescent="0.25">
      <c r="A6" s="1" t="s">
        <v>9</v>
      </c>
      <c r="B6" s="4">
        <v>3250</v>
      </c>
      <c r="D6" s="1" t="s">
        <v>40</v>
      </c>
      <c r="E6" s="7">
        <f>B13*B16</f>
        <v>12.82</v>
      </c>
      <c r="H6" s="8">
        <v>0.1</v>
      </c>
      <c r="I6" s="4">
        <v>1</v>
      </c>
      <c r="J6" s="8">
        <f>I6*H6*$B$5</f>
        <v>320</v>
      </c>
      <c r="K6" s="4">
        <v>20</v>
      </c>
      <c r="L6" s="8">
        <f>J6/K6</f>
        <v>16</v>
      </c>
    </row>
    <row r="7" spans="1:14" x14ac:dyDescent="0.25">
      <c r="A7" s="1" t="s">
        <v>10</v>
      </c>
      <c r="B7" s="4">
        <v>3125</v>
      </c>
      <c r="J7" s="4"/>
      <c r="K7" s="22"/>
      <c r="L7" s="15"/>
      <c r="M7" s="12"/>
      <c r="N7" s="13"/>
    </row>
    <row r="8" spans="1:14" x14ac:dyDescent="0.25">
      <c r="D8" s="1" t="s">
        <v>7</v>
      </c>
      <c r="E8" s="10">
        <f>B9*B5</f>
        <v>192</v>
      </c>
      <c r="J8" s="4"/>
      <c r="K8" s="22"/>
      <c r="L8" s="15"/>
      <c r="M8" s="12"/>
      <c r="N8" s="13"/>
    </row>
    <row r="9" spans="1:14" x14ac:dyDescent="0.25">
      <c r="A9" s="1" t="s">
        <v>13</v>
      </c>
      <c r="B9" s="4">
        <v>0.06</v>
      </c>
      <c r="D9" s="1" t="s">
        <v>14</v>
      </c>
      <c r="E9" s="10">
        <f>E8/B10</f>
        <v>9.6</v>
      </c>
      <c r="H9" s="3">
        <v>1E-4</v>
      </c>
      <c r="J9" s="1" t="s">
        <v>35</v>
      </c>
      <c r="K9" s="22"/>
      <c r="M9" s="12"/>
      <c r="N9" s="13"/>
    </row>
    <row r="10" spans="1:14" x14ac:dyDescent="0.25">
      <c r="A10" s="1" t="s">
        <v>6</v>
      </c>
      <c r="B10" s="4">
        <v>20</v>
      </c>
      <c r="H10" s="1" t="s">
        <v>33</v>
      </c>
      <c r="J10" s="25" t="s">
        <v>43</v>
      </c>
      <c r="K10" s="22"/>
      <c r="L10" s="26" t="s">
        <v>36</v>
      </c>
      <c r="M10" s="12"/>
      <c r="N10" s="13"/>
    </row>
    <row r="11" spans="1:14" x14ac:dyDescent="0.25">
      <c r="D11" s="1" t="s">
        <v>4</v>
      </c>
      <c r="E11" s="11">
        <f>ABS((B7-B5)/B5*E9*B10-B19*E9*2)</f>
        <v>4.5038400000000003</v>
      </c>
      <c r="H11" s="24">
        <f>B5/10000</f>
        <v>0.32</v>
      </c>
      <c r="J11" s="27">
        <f>(B5*0.0001)*(J6/B5)</f>
        <v>3.2000000000000001E-2</v>
      </c>
      <c r="K11" s="22"/>
      <c r="L11" s="23">
        <f>(L6+J11)/L6-1</f>
        <v>2.0000000000000018E-3</v>
      </c>
      <c r="M11" s="12"/>
      <c r="N11" s="13"/>
    </row>
    <row r="12" spans="1:14" x14ac:dyDescent="0.25">
      <c r="A12" s="1" t="s">
        <v>1</v>
      </c>
      <c r="B12" s="9">
        <v>1000</v>
      </c>
      <c r="D12" s="1" t="s">
        <v>5</v>
      </c>
      <c r="E12" s="11">
        <f>-(B5-B6)/B5*B10*E9-B19*E9*2</f>
        <v>2.9961600000000002</v>
      </c>
      <c r="J12" s="4"/>
      <c r="K12" s="22"/>
      <c r="L12" s="23"/>
      <c r="M12" s="12"/>
      <c r="N12" s="13"/>
    </row>
    <row r="13" spans="1:14" x14ac:dyDescent="0.25">
      <c r="A13" s="1" t="s">
        <v>12</v>
      </c>
      <c r="B13" s="9">
        <v>1282</v>
      </c>
      <c r="D13" s="1" t="s">
        <v>11</v>
      </c>
      <c r="E13" s="14">
        <f>E11/ABS(E12)</f>
        <v>1.5032041012495996</v>
      </c>
      <c r="H13" t="s">
        <v>41</v>
      </c>
      <c r="L13" s="23"/>
    </row>
    <row r="14" spans="1:14" x14ac:dyDescent="0.25">
      <c r="H14" s="29">
        <f>$B$5*1%</f>
        <v>32</v>
      </c>
      <c r="J14" s="30">
        <f>($B$5/100)*($J$6/$B$5)</f>
        <v>3.2</v>
      </c>
      <c r="L14" s="23">
        <f>($L$6+$J$14)/$L$6-1</f>
        <v>0.19999999999999996</v>
      </c>
    </row>
    <row r="15" spans="1:14" x14ac:dyDescent="0.25">
      <c r="A15" s="1" t="s">
        <v>2</v>
      </c>
      <c r="B15" s="5">
        <v>0.05</v>
      </c>
      <c r="D15" s="1" t="s">
        <v>38</v>
      </c>
      <c r="E15" s="28">
        <f>E11/E6</f>
        <v>0.35131357254290174</v>
      </c>
    </row>
    <row r="16" spans="1:14" x14ac:dyDescent="0.25">
      <c r="A16" s="1" t="s">
        <v>3</v>
      </c>
      <c r="B16" s="6">
        <v>0.01</v>
      </c>
      <c r="H16" t="s">
        <v>42</v>
      </c>
      <c r="L16" s="23"/>
      <c r="N16" s="8"/>
    </row>
    <row r="17" spans="1:12" x14ac:dyDescent="0.25">
      <c r="H17" s="29">
        <f>$B$5*0.1%</f>
        <v>3.2</v>
      </c>
      <c r="J17" s="30">
        <f>($B$5/1000)*($J$6/$B$5)</f>
        <v>0.32000000000000006</v>
      </c>
      <c r="L17" s="23">
        <f>($L$6+$J$17)/$L$6-1</f>
        <v>2.0000000000000018E-2</v>
      </c>
    </row>
    <row r="18" spans="1:12" x14ac:dyDescent="0.25">
      <c r="A18" s="1" t="s">
        <v>19</v>
      </c>
      <c r="B18" s="3">
        <v>5.9999999999999995E-4</v>
      </c>
      <c r="F18" s="4"/>
      <c r="I18" s="4"/>
    </row>
    <row r="19" spans="1:12" x14ac:dyDescent="0.25">
      <c r="A19" s="1" t="s">
        <v>20</v>
      </c>
      <c r="B19" s="16">
        <v>2.0000000000000001E-4</v>
      </c>
      <c r="E19" s="1"/>
      <c r="I19" s="21"/>
    </row>
    <row r="20" spans="1:12" x14ac:dyDescent="0.25">
      <c r="I20" s="8"/>
      <c r="J20" s="4"/>
      <c r="K2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ise_en_forme">
                <anchor moveWithCells="1" sizeWithCells="1">
                  <from>
                    <xdr:col>18</xdr:col>
                    <xdr:colOff>552450</xdr:colOff>
                    <xdr:row>0</xdr:row>
                    <xdr:rowOff>95250</xdr:rowOff>
                  </from>
                  <to>
                    <xdr:col>20</xdr:col>
                    <xdr:colOff>142875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open_pos_usrform_init" altText="Ouverture de position">
                <anchor moveWithCells="1" sizeWithCells="1">
                  <from>
                    <xdr:col>14</xdr:col>
                    <xdr:colOff>209550</xdr:colOff>
                    <xdr:row>0</xdr:row>
                    <xdr:rowOff>57150</xdr:rowOff>
                  </from>
                  <to>
                    <xdr:col>15</xdr:col>
                    <xdr:colOff>657225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close_pos_usrform_init">
                <anchor moveWithCells="1" sizeWithCells="1">
                  <from>
                    <xdr:col>16</xdr:col>
                    <xdr:colOff>180975</xdr:colOff>
                    <xdr:row>0</xdr:row>
                    <xdr:rowOff>57150</xdr:rowOff>
                  </from>
                  <to>
                    <xdr:col>17</xdr:col>
                    <xdr:colOff>628650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9E59C-16F1-4A60-A3CD-53E3ADF0B39A}">
  <sheetPr codeName="Feuil3"/>
  <dimension ref="A1:M65"/>
  <sheetViews>
    <sheetView workbookViewId="0">
      <selection activeCell="B37" sqref="B37"/>
    </sheetView>
  </sheetViews>
  <sheetFormatPr baseColWidth="10" defaultRowHeight="15" x14ac:dyDescent="0.25"/>
  <cols>
    <col min="2" max="2" width="19.42578125" bestFit="1" customWidth="1"/>
    <col min="3" max="3" width="7.7109375" bestFit="1" customWidth="1"/>
    <col min="6" max="7" width="16.28515625" bestFit="1" customWidth="1"/>
    <col min="11" max="11" width="16.85546875" bestFit="1" customWidth="1"/>
  </cols>
  <sheetData>
    <row r="1" spans="1:13" x14ac:dyDescent="0.25">
      <c r="A1" t="s">
        <v>25</v>
      </c>
      <c r="B1" t="s">
        <v>21</v>
      </c>
      <c r="C1" t="s">
        <v>15</v>
      </c>
      <c r="D1" t="s">
        <v>16</v>
      </c>
      <c r="E1" t="s">
        <v>22</v>
      </c>
      <c r="F1" t="s">
        <v>23</v>
      </c>
      <c r="G1" t="s">
        <v>13</v>
      </c>
      <c r="H1" t="s">
        <v>6</v>
      </c>
      <c r="I1" t="s">
        <v>10</v>
      </c>
      <c r="J1" t="s">
        <v>9</v>
      </c>
      <c r="K1" t="s">
        <v>24</v>
      </c>
      <c r="L1" t="s">
        <v>17</v>
      </c>
      <c r="M1" t="s">
        <v>18</v>
      </c>
    </row>
    <row r="2" spans="1:13" x14ac:dyDescent="0.25">
      <c r="A2">
        <v>1</v>
      </c>
      <c r="L2" t="s">
        <v>44</v>
      </c>
      <c r="M2" s="31">
        <v>0.49146990740740742</v>
      </c>
    </row>
    <row r="3" spans="1:13" x14ac:dyDescent="0.25">
      <c r="M3" s="31"/>
    </row>
    <row r="4" spans="1:13" x14ac:dyDescent="0.25">
      <c r="A4" s="4"/>
      <c r="B4" s="1"/>
      <c r="C4" s="1"/>
      <c r="D4" s="1"/>
      <c r="E4" s="1"/>
      <c r="F4" s="4"/>
      <c r="G4" s="4"/>
      <c r="H4" s="4"/>
      <c r="I4" s="4"/>
      <c r="J4" s="4"/>
      <c r="K4" s="4"/>
      <c r="L4" s="1"/>
      <c r="M4" s="20"/>
    </row>
    <row r="5" spans="1:13" x14ac:dyDescent="0.25">
      <c r="A5" s="4"/>
      <c r="L5" s="18"/>
      <c r="M5" s="19"/>
    </row>
    <row r="6" spans="1:13" x14ac:dyDescent="0.25">
      <c r="A6" s="4"/>
      <c r="L6" s="18"/>
      <c r="M6" s="19"/>
    </row>
    <row r="7" spans="1:13" x14ac:dyDescent="0.25">
      <c r="A7" s="4"/>
      <c r="L7" s="18"/>
      <c r="M7" s="19"/>
    </row>
    <row r="8" spans="1:13" x14ac:dyDescent="0.25">
      <c r="A8" s="4"/>
      <c r="L8" s="18"/>
      <c r="M8" s="19"/>
    </row>
    <row r="9" spans="1:13" x14ac:dyDescent="0.25">
      <c r="A9" s="4"/>
      <c r="B9" s="1"/>
      <c r="C9" s="1"/>
      <c r="D9" s="1"/>
      <c r="E9" s="1"/>
      <c r="F9" s="4"/>
      <c r="G9" s="4"/>
      <c r="H9" s="4"/>
      <c r="I9" s="4"/>
      <c r="J9" s="4"/>
      <c r="K9" s="4"/>
      <c r="L9" s="18"/>
      <c r="M9" s="19"/>
    </row>
    <row r="10" spans="1:13" x14ac:dyDescent="0.25">
      <c r="A10" s="4"/>
      <c r="F10" s="4"/>
      <c r="G10" s="4"/>
      <c r="H10" s="4"/>
      <c r="I10" s="4"/>
      <c r="J10" s="4"/>
      <c r="K10" s="4"/>
      <c r="L10" s="18"/>
      <c r="M10" s="19"/>
    </row>
    <row r="11" spans="1:13" x14ac:dyDescent="0.25">
      <c r="A11" s="4"/>
      <c r="L11" s="18"/>
      <c r="M11" s="19"/>
    </row>
    <row r="12" spans="1:13" x14ac:dyDescent="0.25">
      <c r="A12" s="4"/>
      <c r="L12" s="18"/>
      <c r="M12" s="19"/>
    </row>
    <row r="13" spans="1:13" x14ac:dyDescent="0.25">
      <c r="A13" s="4"/>
      <c r="L13" s="18"/>
      <c r="M13" s="19"/>
    </row>
    <row r="14" spans="1:13" x14ac:dyDescent="0.25">
      <c r="A14" s="4"/>
      <c r="L14" s="18"/>
      <c r="M14" s="19"/>
    </row>
    <row r="15" spans="1:13" x14ac:dyDescent="0.25">
      <c r="A15" s="4"/>
      <c r="L15" s="18"/>
      <c r="M15" s="19"/>
    </row>
    <row r="16" spans="1:13" x14ac:dyDescent="0.25">
      <c r="A16" s="4"/>
      <c r="L16" s="18"/>
      <c r="M16" s="19"/>
    </row>
    <row r="17" spans="1:13" x14ac:dyDescent="0.25">
      <c r="A17" s="4"/>
      <c r="L17" s="18"/>
      <c r="M17" s="19"/>
    </row>
    <row r="18" spans="1:13" x14ac:dyDescent="0.25">
      <c r="A18" s="4"/>
      <c r="L18" s="18"/>
      <c r="M18" s="19"/>
    </row>
    <row r="19" spans="1:13" x14ac:dyDescent="0.25">
      <c r="A19" s="4"/>
      <c r="B19" s="1"/>
      <c r="C19" s="1"/>
      <c r="D19" s="1"/>
      <c r="E19" s="1"/>
      <c r="F19" s="4"/>
      <c r="G19" s="4"/>
      <c r="H19" s="4"/>
      <c r="I19" s="4"/>
      <c r="J19" s="4"/>
      <c r="K19" s="4"/>
      <c r="L19" s="18"/>
      <c r="M19" s="19"/>
    </row>
    <row r="20" spans="1:13" x14ac:dyDescent="0.25">
      <c r="F20" s="4"/>
      <c r="G20" s="4"/>
      <c r="H20" s="4"/>
      <c r="I20" s="4"/>
      <c r="J20" s="4"/>
      <c r="K20" s="4"/>
      <c r="L20" s="18"/>
      <c r="M20" s="19"/>
    </row>
    <row r="21" spans="1:13" x14ac:dyDescent="0.25">
      <c r="B21" s="1"/>
      <c r="C21" s="1"/>
      <c r="D21" s="1"/>
      <c r="E21" s="1"/>
      <c r="F21" s="4"/>
      <c r="G21" s="4"/>
      <c r="H21" s="4"/>
      <c r="I21" s="4"/>
      <c r="J21" s="4"/>
      <c r="K21" s="4"/>
      <c r="L21" s="18"/>
      <c r="M21" s="19"/>
    </row>
    <row r="22" spans="1:13" x14ac:dyDescent="0.25">
      <c r="B22" s="1"/>
      <c r="C22" s="1"/>
      <c r="D22" s="1"/>
      <c r="E22" s="1"/>
      <c r="F22" s="4"/>
      <c r="G22" s="4"/>
      <c r="H22" s="4"/>
      <c r="I22" s="4"/>
      <c r="J22" s="4"/>
      <c r="K22" s="4"/>
      <c r="L22" s="18"/>
      <c r="M22" s="19"/>
    </row>
    <row r="23" spans="1:13" x14ac:dyDescent="0.25">
      <c r="F23" s="4"/>
      <c r="G23" s="4"/>
      <c r="H23" s="4"/>
      <c r="I23" s="4"/>
      <c r="J23" s="4"/>
      <c r="L23" s="18"/>
      <c r="M23" s="19"/>
    </row>
    <row r="24" spans="1:13" x14ac:dyDescent="0.25">
      <c r="F24" s="4"/>
      <c r="G24" s="4"/>
      <c r="H24" s="4"/>
      <c r="I24" s="4"/>
      <c r="J24" s="4"/>
      <c r="K24" s="4"/>
      <c r="L24" s="18"/>
      <c r="M24" s="20"/>
    </row>
    <row r="25" spans="1:13" x14ac:dyDescent="0.25">
      <c r="B25" s="1"/>
      <c r="C25" s="1"/>
      <c r="D25" s="1"/>
      <c r="E25" s="1"/>
      <c r="F25" s="4"/>
      <c r="G25" s="4"/>
      <c r="H25" s="4"/>
      <c r="I25" s="4"/>
      <c r="J25" s="4"/>
      <c r="K25" s="4"/>
      <c r="L25" s="18"/>
      <c r="M25" s="20"/>
    </row>
    <row r="26" spans="1:13" x14ac:dyDescent="0.25">
      <c r="B26" s="1"/>
      <c r="C26" s="1"/>
      <c r="D26" s="1"/>
      <c r="E26" s="1"/>
      <c r="F26" s="4"/>
      <c r="G26" s="4"/>
      <c r="H26" s="4"/>
      <c r="I26" s="4"/>
      <c r="J26" s="4"/>
      <c r="K26" s="4"/>
      <c r="L26" s="18"/>
      <c r="M26" s="20"/>
    </row>
    <row r="27" spans="1:13" x14ac:dyDescent="0.25">
      <c r="L27" s="18"/>
      <c r="M27" s="20"/>
    </row>
    <row r="28" spans="1:13" x14ac:dyDescent="0.25">
      <c r="L28" s="18"/>
      <c r="M28" s="20"/>
    </row>
    <row r="29" spans="1:13" x14ac:dyDescent="0.25">
      <c r="L29" s="18"/>
      <c r="M29" s="20"/>
    </row>
    <row r="30" spans="1:13" x14ac:dyDescent="0.25">
      <c r="L30" s="18"/>
      <c r="M30" s="20"/>
    </row>
    <row r="31" spans="1:13" x14ac:dyDescent="0.25">
      <c r="B31" s="1"/>
      <c r="C31" s="1"/>
      <c r="D31" s="1"/>
      <c r="E31" s="1"/>
      <c r="F31" s="4"/>
      <c r="G31" s="4"/>
      <c r="H31" s="4"/>
      <c r="I31" s="4"/>
      <c r="J31" s="4"/>
      <c r="K31" s="4"/>
      <c r="L31" s="18"/>
      <c r="M31" s="20"/>
    </row>
    <row r="32" spans="1:13" x14ac:dyDescent="0.25">
      <c r="B32" s="1"/>
      <c r="C32" s="1"/>
      <c r="D32" s="1"/>
      <c r="E32" s="1"/>
      <c r="F32" s="4"/>
      <c r="G32" s="4"/>
      <c r="H32" s="4"/>
      <c r="I32" s="4"/>
      <c r="J32" s="4"/>
      <c r="K32" s="4"/>
      <c r="L32" s="18"/>
      <c r="M32" s="20"/>
    </row>
    <row r="33" spans="2:13" x14ac:dyDescent="0.25">
      <c r="F33" s="4"/>
      <c r="G33" s="4"/>
      <c r="H33" s="4"/>
      <c r="I33" s="4"/>
      <c r="J33" s="4"/>
      <c r="K33" s="4"/>
      <c r="L33" s="18"/>
      <c r="M33" s="20"/>
    </row>
    <row r="34" spans="2:13" x14ac:dyDescent="0.25">
      <c r="L34" s="18"/>
      <c r="M34" s="20"/>
    </row>
    <row r="35" spans="2:13" x14ac:dyDescent="0.25">
      <c r="L35" s="18"/>
      <c r="M35" s="20"/>
    </row>
    <row r="36" spans="2:13" x14ac:dyDescent="0.25">
      <c r="L36" s="18"/>
      <c r="M36" s="20"/>
    </row>
    <row r="37" spans="2:13" x14ac:dyDescent="0.25">
      <c r="L37" s="18"/>
      <c r="M37" s="20"/>
    </row>
    <row r="38" spans="2:13" x14ac:dyDescent="0.25">
      <c r="L38" s="18"/>
      <c r="M38" s="20"/>
    </row>
    <row r="39" spans="2:13" x14ac:dyDescent="0.25">
      <c r="L39" s="18"/>
      <c r="M39" s="20"/>
    </row>
    <row r="40" spans="2:13" x14ac:dyDescent="0.25">
      <c r="L40" s="18"/>
      <c r="M40" s="20"/>
    </row>
    <row r="41" spans="2:13" x14ac:dyDescent="0.25">
      <c r="B41" s="1"/>
      <c r="C41" s="1"/>
      <c r="D41" s="1"/>
      <c r="E41" s="1"/>
      <c r="F41" s="4"/>
      <c r="G41" s="4"/>
      <c r="H41" s="4"/>
      <c r="I41" s="4"/>
      <c r="J41" s="4"/>
      <c r="K41" s="4"/>
      <c r="L41" s="18"/>
      <c r="M41" s="20"/>
    </row>
    <row r="42" spans="2:13" x14ac:dyDescent="0.25">
      <c r="F42" s="4"/>
      <c r="G42" s="4"/>
      <c r="H42" s="4"/>
      <c r="I42" s="4"/>
      <c r="J42" s="4"/>
      <c r="K42" s="4"/>
      <c r="L42" s="18"/>
      <c r="M42" s="20"/>
    </row>
    <row r="43" spans="2:13" x14ac:dyDescent="0.25">
      <c r="L43" s="18"/>
      <c r="M43" s="20"/>
    </row>
    <row r="44" spans="2:13" x14ac:dyDescent="0.25">
      <c r="L44" s="18"/>
      <c r="M44" s="20"/>
    </row>
    <row r="45" spans="2:13" x14ac:dyDescent="0.25">
      <c r="L45" s="18"/>
      <c r="M45" s="20"/>
    </row>
    <row r="46" spans="2:13" x14ac:dyDescent="0.25">
      <c r="L46" s="18"/>
      <c r="M46" s="20"/>
    </row>
    <row r="48" spans="2:13" x14ac:dyDescent="0.25">
      <c r="B48" s="1"/>
      <c r="C48" s="1"/>
      <c r="D48" s="1"/>
      <c r="E48" s="1"/>
      <c r="L48" s="18"/>
      <c r="M48" s="20"/>
    </row>
    <row r="49" spans="2:13" x14ac:dyDescent="0.25">
      <c r="L49" s="18"/>
      <c r="M49" s="20"/>
    </row>
    <row r="60" spans="2:13" x14ac:dyDescent="0.25">
      <c r="B60" s="1"/>
      <c r="C60" s="1"/>
      <c r="D60" s="1"/>
      <c r="E60" s="1"/>
      <c r="F60" s="4"/>
      <c r="G60" s="4"/>
      <c r="H60" s="4"/>
      <c r="I60" s="4"/>
      <c r="J60" s="4"/>
    </row>
    <row r="61" spans="2:13" x14ac:dyDescent="0.25">
      <c r="F61" s="4"/>
      <c r="G61" s="4"/>
      <c r="H61" s="4"/>
      <c r="I61" s="4"/>
      <c r="J61" s="4"/>
      <c r="K61" s="4"/>
    </row>
    <row r="62" spans="2:13" x14ac:dyDescent="0.25">
      <c r="F62" s="4"/>
      <c r="G62" s="4"/>
      <c r="H62" s="4"/>
      <c r="I62" s="4"/>
      <c r="J62" s="4"/>
      <c r="K62" s="4"/>
    </row>
    <row r="63" spans="2:13" x14ac:dyDescent="0.25">
      <c r="F63" s="4"/>
      <c r="G63" s="4"/>
      <c r="H63" s="4"/>
      <c r="I63" s="4"/>
      <c r="J63" s="4"/>
      <c r="K63" s="4"/>
    </row>
    <row r="64" spans="2:13" x14ac:dyDescent="0.25">
      <c r="F64" s="4"/>
      <c r="G64" s="4"/>
      <c r="H64" s="4"/>
      <c r="I64" s="4"/>
      <c r="J64" s="4"/>
      <c r="K64" s="4"/>
    </row>
    <row r="65" spans="6:11" x14ac:dyDescent="0.25">
      <c r="F65" s="4"/>
      <c r="G65" s="4"/>
      <c r="H65" s="4"/>
      <c r="I65" s="4"/>
      <c r="J65" s="4"/>
      <c r="K65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58DD6-D345-42F4-B28C-301BD1E190A2}">
  <sheetPr codeName="Feuil2"/>
  <dimension ref="A1:O16"/>
  <sheetViews>
    <sheetView workbookViewId="0">
      <selection activeCell="K18" sqref="K18"/>
    </sheetView>
  </sheetViews>
  <sheetFormatPr baseColWidth="10" defaultRowHeight="15" x14ac:dyDescent="0.25"/>
  <cols>
    <col min="5" max="5" width="12.42578125" bestFit="1" customWidth="1"/>
    <col min="6" max="6" width="12.7109375" bestFit="1" customWidth="1"/>
    <col min="7" max="8" width="16.28515625" bestFit="1" customWidth="1"/>
    <col min="9" max="9" width="16.85546875" bestFit="1" customWidth="1"/>
  </cols>
  <sheetData>
    <row r="1" spans="1:15" x14ac:dyDescent="0.25">
      <c r="A1" t="s">
        <v>25</v>
      </c>
      <c r="B1" t="s">
        <v>21</v>
      </c>
      <c r="C1" t="s">
        <v>15</v>
      </c>
      <c r="D1" t="s">
        <v>16</v>
      </c>
      <c r="E1" t="s">
        <v>23</v>
      </c>
      <c r="F1" t="s">
        <v>26</v>
      </c>
      <c r="G1" t="s">
        <v>13</v>
      </c>
      <c r="H1" t="s">
        <v>6</v>
      </c>
      <c r="I1" t="s">
        <v>24</v>
      </c>
      <c r="J1" t="s">
        <v>28</v>
      </c>
      <c r="K1" t="s">
        <v>29</v>
      </c>
      <c r="L1" t="s">
        <v>27</v>
      </c>
      <c r="M1" t="s">
        <v>17</v>
      </c>
      <c r="N1" t="s">
        <v>18</v>
      </c>
      <c r="O1" t="s">
        <v>22</v>
      </c>
    </row>
    <row r="2" spans="1:15" x14ac:dyDescent="0.25">
      <c r="M2" t="s">
        <v>44</v>
      </c>
      <c r="N2" s="31">
        <v>0.49151620370370369</v>
      </c>
    </row>
    <row r="3" spans="1:15" x14ac:dyDescent="0.25">
      <c r="N3" s="31"/>
    </row>
    <row r="4" spans="1:15" x14ac:dyDescent="0.25">
      <c r="B4" s="1"/>
      <c r="C4" s="1"/>
      <c r="D4" s="1"/>
      <c r="E4" s="4"/>
      <c r="G4" s="4"/>
      <c r="H4" s="4"/>
      <c r="I4" s="4"/>
      <c r="J4" s="4"/>
      <c r="K4" s="4"/>
      <c r="L4" s="4"/>
      <c r="M4" s="1"/>
      <c r="N4" s="20"/>
      <c r="O4" s="1"/>
    </row>
    <row r="5" spans="1:15" x14ac:dyDescent="0.25">
      <c r="B5" s="1"/>
      <c r="C5" s="1"/>
      <c r="D5" s="1"/>
      <c r="E5" s="4"/>
      <c r="G5" s="4"/>
      <c r="H5" s="4"/>
      <c r="I5" s="4"/>
      <c r="J5" s="4"/>
      <c r="K5" s="4"/>
      <c r="L5" s="4"/>
      <c r="M5" s="18"/>
      <c r="N5" s="20"/>
      <c r="O5" s="1"/>
    </row>
    <row r="6" spans="1:15" x14ac:dyDescent="0.25">
      <c r="B6" s="1"/>
      <c r="C6" s="1"/>
      <c r="D6" s="1"/>
      <c r="E6" s="4"/>
      <c r="G6" s="4"/>
      <c r="H6" s="4"/>
      <c r="I6" s="4"/>
      <c r="J6" s="4"/>
      <c r="K6" s="4"/>
      <c r="L6" s="4"/>
      <c r="M6" s="18"/>
      <c r="N6" s="20"/>
      <c r="O6" s="1"/>
    </row>
    <row r="8" spans="1:15" x14ac:dyDescent="0.25">
      <c r="L8" s="17"/>
    </row>
    <row r="16" spans="1:15" x14ac:dyDescent="0.25">
      <c r="D1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DashBoard</vt:lpstr>
      <vt:lpstr>Opened_positions</vt:lpstr>
      <vt:lpstr>Closed_positions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Guillot</dc:creator>
  <cp:lastModifiedBy>Mathieu Guillot</cp:lastModifiedBy>
  <dcterms:created xsi:type="dcterms:W3CDTF">2021-09-01T17:08:57Z</dcterms:created>
  <dcterms:modified xsi:type="dcterms:W3CDTF">2022-12-21T10:48:19Z</dcterms:modified>
</cp:coreProperties>
</file>